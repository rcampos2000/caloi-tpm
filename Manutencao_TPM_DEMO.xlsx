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Resumo por Setor" sheetId="2" state="visible" r:id="rId2"/>
    <sheet xmlns:r="http://schemas.openxmlformats.org/officeDocument/2006/relationships" name="Catálogo Equipamentos" sheetId="3" state="visible" r:id="rId3"/>
  </sheets>
  <definedNames>
    <definedName name="_xlnm._FilterDatabase" localSheetId="0" hidden="1">'Registros'!$A$1:$Q$1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B3A6B"/>
      <sz val="14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FFFFFF"/>
        <bgColor rgb="00FFFFFF"/>
      </patternFill>
    </fill>
    <fill>
      <patternFill patternType="solid">
        <fgColor rgb="00EBF1F8"/>
        <bgColor rgb="00EBF1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8" customWidth="1" min="4" max="4"/>
    <col width="16" customWidth="1" min="5" max="5"/>
    <col width="22" customWidth="1" min="6" max="6"/>
    <col width="20" customWidth="1" min="7" max="7"/>
    <col width="15" customWidth="1" min="8" max="8"/>
    <col width="15" customWidth="1" min="9" max="9"/>
    <col width="15" customWidth="1" min="10" max="10"/>
    <col width="30" customWidth="1" min="11" max="11"/>
    <col width="30" customWidth="1" min="12" max="12"/>
    <col width="25" customWidth="1" min="13" max="13"/>
    <col width="16" customWidth="1" min="14" max="14"/>
    <col width="20" customWidth="1" min="15" max="15"/>
    <col width="16" customWidth="1" min="16" max="16"/>
    <col width="12" customWidth="1" min="17" max="17"/>
  </cols>
  <sheetData>
    <row r="1" ht="35" customHeight="1">
      <c r="A1" s="1" t="inlineStr">
        <is>
          <t>ID</t>
        </is>
      </c>
      <c r="B1" s="1" t="inlineStr">
        <is>
          <t>Data/Hora Registro</t>
        </is>
      </c>
      <c r="C1" s="1" t="inlineStr">
        <is>
          <t>Data Ocorrência</t>
        </is>
      </c>
      <c r="D1" s="1" t="inlineStr">
        <is>
          <t>Equipamento</t>
        </is>
      </c>
      <c r="E1" s="1" t="inlineStr">
        <is>
          <t>Código do Equipamento</t>
        </is>
      </c>
      <c r="F1" s="1" t="inlineStr">
        <is>
          <t>Técnico Responsável</t>
        </is>
      </c>
      <c r="G1" s="1" t="inlineStr">
        <is>
          <t>Setor Produtivo</t>
        </is>
      </c>
      <c r="H1" s="1" t="inlineStr">
        <is>
          <t>Horário de Parada</t>
        </is>
      </c>
      <c r="I1" s="1" t="inlineStr">
        <is>
          <t>Horário de Liberação</t>
        </is>
      </c>
      <c r="J1" s="1" t="inlineStr">
        <is>
          <t>Total Horas Paradas</t>
        </is>
      </c>
      <c r="K1" s="1" t="inlineStr">
        <is>
          <t>Motivo da Parada</t>
        </is>
      </c>
      <c r="L1" s="1" t="inlineStr">
        <is>
          <t>Solução do Problema</t>
        </is>
      </c>
      <c r="M1" s="1" t="inlineStr">
        <is>
          <t>Observações</t>
        </is>
      </c>
      <c r="N1" s="1" t="inlineStr">
        <is>
          <t>Assinatura Técnico</t>
        </is>
      </c>
      <c r="O1" s="1" t="inlineStr">
        <is>
          <t>Nome Solicitante</t>
        </is>
      </c>
      <c r="P1" s="1" t="inlineStr">
        <is>
          <t>Liberação Solicitante</t>
        </is>
      </c>
      <c r="Q1" s="1" t="inlineStr">
        <is>
          <t>Status</t>
        </is>
      </c>
    </row>
    <row r="2">
      <c r="A2" s="5" t="n">
        <v>1</v>
      </c>
      <c r="B2" s="5" t="inlineStr">
        <is>
          <t>24/05/2026 02:27:21</t>
        </is>
      </c>
      <c r="C2" s="5" t="inlineStr">
        <is>
          <t>2026-05-23</t>
        </is>
      </c>
      <c r="D2" s="5" t="inlineStr">
        <is>
          <t>Robô de Solda #1 - Solda Aço</t>
        </is>
      </c>
      <c r="E2" s="5" t="inlineStr">
        <is>
          <t>EQ007</t>
        </is>
      </c>
      <c r="F2" s="5" t="inlineStr">
        <is>
          <t>Anderson Silva</t>
        </is>
      </c>
      <c r="G2" s="5" t="inlineStr">
        <is>
          <t>Solda Aço</t>
        </is>
      </c>
      <c r="H2" s="5" t="inlineStr">
        <is>
          <t>07:45</t>
        </is>
      </c>
      <c r="I2" s="5" t="inlineStr">
        <is>
          <t>09:30</t>
        </is>
      </c>
      <c r="J2" s="5" t="n">
        <v>1.75</v>
      </c>
      <c r="K2" s="5" t="inlineStr">
        <is>
          <t>Falha Elétrica - Sensor defeituoso</t>
        </is>
      </c>
      <c r="L2" s="5" t="inlineStr">
        <is>
          <t>Reparo Elétrico - Reaperto de conexões</t>
        </is>
      </c>
      <c r="M2" s="5" t="inlineStr">
        <is>
          <t>Sensor da garra esquerda substituído. Peça: Sensor indutivo 12mm NPN.</t>
        </is>
      </c>
      <c r="N2" s="5" t="inlineStr">
        <is>
          <t>NÃO</t>
        </is>
      </c>
      <c r="O2" s="5" t="inlineStr">
        <is>
          <t>Carlos Eduardo Souza</t>
        </is>
      </c>
      <c r="P2" s="5" t="inlineStr">
        <is>
          <t>NÃO</t>
        </is>
      </c>
      <c r="Q2" s="5" t="inlineStr">
        <is>
          <t>Concluído</t>
        </is>
      </c>
    </row>
    <row r="3">
      <c r="A3" s="6" t="n">
        <v>2</v>
      </c>
      <c r="B3" s="6" t="inlineStr">
        <is>
          <t>24/05/2026 02:27:21</t>
        </is>
      </c>
      <c r="C3" s="6" t="inlineStr">
        <is>
          <t>2026-05-23</t>
        </is>
      </c>
      <c r="D3" s="6" t="inlineStr">
        <is>
          <t>Prensa Hidráulica #1 - Preparação Aço</t>
        </is>
      </c>
      <c r="E3" s="6" t="inlineStr">
        <is>
          <t>EQ001</t>
        </is>
      </c>
      <c r="F3" s="6" t="inlineStr">
        <is>
          <t>Felipe Oliveira</t>
        </is>
      </c>
      <c r="G3" s="6" t="inlineStr">
        <is>
          <t>Preparação Aço</t>
        </is>
      </c>
      <c r="H3" s="6" t="inlineStr">
        <is>
          <t>10:00</t>
        </is>
      </c>
      <c r="I3" s="6" t="inlineStr">
        <is>
          <t>11:20</t>
        </is>
      </c>
      <c r="J3" s="6" t="n">
        <v>1.33</v>
      </c>
      <c r="K3" s="6" t="inlineStr">
        <is>
          <t>Falha Hidráulica - Vazamento</t>
        </is>
      </c>
      <c r="L3" s="6" t="inlineStr">
        <is>
          <t>Reparo Hidráulico - Troca de vedação</t>
        </is>
      </c>
      <c r="M3" s="6" t="inlineStr">
        <is>
          <t>Vedação do cilindro principal trocada. Kit de vedação #HY-220.</t>
        </is>
      </c>
      <c r="N3" s="6" t="inlineStr">
        <is>
          <t>NÃO</t>
        </is>
      </c>
      <c r="O3" s="6" t="inlineStr">
        <is>
          <t>Maria da Silva Santos</t>
        </is>
      </c>
      <c r="P3" s="6" t="inlineStr">
        <is>
          <t>NÃO</t>
        </is>
      </c>
      <c r="Q3" s="6" t="inlineStr">
        <is>
          <t>Concluído</t>
        </is>
      </c>
    </row>
    <row r="4">
      <c r="A4" s="5" t="n">
        <v>3</v>
      </c>
      <c r="B4" s="5" t="inlineStr">
        <is>
          <t>24/05/2026 02:27:21</t>
        </is>
      </c>
      <c r="C4" s="5" t="inlineStr">
        <is>
          <t>2026-05-23</t>
        </is>
      </c>
      <c r="D4" s="5" t="inlineStr">
        <is>
          <t>Cabine de Pintura #2 - Pintura</t>
        </is>
      </c>
      <c r="E4" s="5" t="inlineStr">
        <is>
          <t>EQ014</t>
        </is>
      </c>
      <c r="F4" s="5" t="inlineStr">
        <is>
          <t>Rafael Lima</t>
        </is>
      </c>
      <c r="G4" s="5" t="inlineStr">
        <is>
          <t>Pintura</t>
        </is>
      </c>
      <c r="H4" s="5" t="inlineStr">
        <is>
          <t>13:45</t>
        </is>
      </c>
      <c r="I4" s="5" t="inlineStr">
        <is>
          <t>18:00</t>
        </is>
      </c>
      <c r="J4" s="7" t="n">
        <v>4.25</v>
      </c>
      <c r="K4" s="5" t="inlineStr">
        <is>
          <t>Falha Eletrônica - CLP/Inversor</t>
        </is>
      </c>
      <c r="L4" s="5" t="inlineStr">
        <is>
          <t>Reparo Eletrônico - Parametrização</t>
        </is>
      </c>
      <c r="M4" s="5" t="inlineStr">
        <is>
          <t>Inversores CLP reiniciados e reparametrizados. Backup de parâmetros salvo.</t>
        </is>
      </c>
      <c r="N4" s="5" t="inlineStr">
        <is>
          <t>NÃO</t>
        </is>
      </c>
      <c r="O4" s="5" t="inlineStr">
        <is>
          <t>João Pedro Almeida</t>
        </is>
      </c>
      <c r="P4" s="5" t="inlineStr">
        <is>
          <t>NÃO</t>
        </is>
      </c>
      <c r="Q4" s="5" t="inlineStr">
        <is>
          <t>Concluído</t>
        </is>
      </c>
    </row>
    <row r="5">
      <c r="A5" s="6" t="n">
        <v>4</v>
      </c>
      <c r="B5" s="6" t="inlineStr">
        <is>
          <t>24/05/2026 02:27:21</t>
        </is>
      </c>
      <c r="C5" s="6" t="inlineStr">
        <is>
          <t>2026-05-23</t>
        </is>
      </c>
      <c r="D5" s="6" t="inlineStr">
        <is>
          <t>Laminadora de Aro #1 - Aro</t>
        </is>
      </c>
      <c r="E5" s="6" t="inlineStr">
        <is>
          <t>EQ018</t>
        </is>
      </c>
      <c r="F5" s="6" t="inlineStr">
        <is>
          <t>Lucas Pereira</t>
        </is>
      </c>
      <c r="G5" s="6" t="inlineStr">
        <is>
          <t>Aro</t>
        </is>
      </c>
      <c r="H5" s="6" t="inlineStr">
        <is>
          <t>14:30</t>
        </is>
      </c>
      <c r="I5" s="6" t="inlineStr">
        <is>
          <t>15:15</t>
        </is>
      </c>
      <c r="J5" s="6" t="n">
        <v>0.75</v>
      </c>
      <c r="K5" s="6" t="inlineStr">
        <is>
          <t>Setup / Troca de Ferramenta</t>
        </is>
      </c>
      <c r="L5" s="6" t="inlineStr">
        <is>
          <t>Troca de Correia / Corrente</t>
        </is>
      </c>
      <c r="M5" s="6" t="inlineStr">
        <is>
          <t>Correia de transmissão principal substituída. Tensão ajustada.</t>
        </is>
      </c>
      <c r="N5" s="6" t="inlineStr">
        <is>
          <t>NÃO</t>
        </is>
      </c>
      <c r="O5" s="6" t="inlineStr">
        <is>
          <t>Ana Paula Martins</t>
        </is>
      </c>
      <c r="P5" s="6" t="inlineStr">
        <is>
          <t>NÃO</t>
        </is>
      </c>
      <c r="Q5" s="6" t="inlineStr">
        <is>
          <t>Concluído</t>
        </is>
      </c>
    </row>
    <row r="6">
      <c r="A6" s="5" t="n">
        <v>5</v>
      </c>
      <c r="B6" s="5" t="inlineStr">
        <is>
          <t>24/05/2026 02:27:21</t>
        </is>
      </c>
      <c r="C6" s="5" t="inlineStr">
        <is>
          <t>2026-05-23</t>
        </is>
      </c>
      <c r="D6" s="5" t="inlineStr">
        <is>
          <t>Forno de Têmpera - Tratamento Térmico</t>
        </is>
      </c>
      <c r="E6" s="5" t="inlineStr">
        <is>
          <t>EQ011</t>
        </is>
      </c>
      <c r="F6" s="5" t="inlineStr">
        <is>
          <t>Marcos Alves</t>
        </is>
      </c>
      <c r="G6" s="5" t="inlineStr">
        <is>
          <t>Tratamento Térmico</t>
        </is>
      </c>
      <c r="H6" s="5" t="inlineStr">
        <is>
          <t>06:00</t>
        </is>
      </c>
      <c r="I6" s="5" t="inlineStr">
        <is>
          <t>11:30</t>
        </is>
      </c>
      <c r="J6" s="7" t="n">
        <v>5.5</v>
      </c>
      <c r="K6" s="5" t="inlineStr">
        <is>
          <t>Falha Elétrica - Queima de motor</t>
        </is>
      </c>
      <c r="L6" s="5" t="inlineStr">
        <is>
          <t>Reparo Elétrico - Troca de motor</t>
        </is>
      </c>
      <c r="M6" s="5" t="inlineStr">
        <is>
          <t>Motor de circulação de ar queimado. Motor 5CV 380V substituído. Aguardar 24h para retorno à temperatura nominal.</t>
        </is>
      </c>
      <c r="N6" s="5" t="inlineStr">
        <is>
          <t>NÃO</t>
        </is>
      </c>
      <c r="O6" s="5" t="inlineStr">
        <is>
          <t>Roberto Faria</t>
        </is>
      </c>
      <c r="P6" s="5" t="inlineStr">
        <is>
          <t>NÃO</t>
        </is>
      </c>
      <c r="Q6" s="5" t="inlineStr">
        <is>
          <t>Concluído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inlineStr">
        <is>
          <t>RESUMO DE MANUTENÇÃO POR SETOR</t>
        </is>
      </c>
    </row>
    <row r="2">
      <c r="A2" s="3" t="inlineStr">
        <is>
          <t>Setor</t>
        </is>
      </c>
      <c r="B2" s="3" t="inlineStr">
        <is>
          <t>Qtd. Paradas</t>
        </is>
      </c>
      <c r="C2" s="3" t="inlineStr">
        <is>
          <t>Total Horas</t>
        </is>
      </c>
      <c r="D2" s="3" t="inlineStr">
        <is>
          <t>Média Horas/Parada</t>
        </is>
      </c>
    </row>
    <row r="3">
      <c r="A3" s="4" t="inlineStr">
        <is>
          <t>Preparação Aço</t>
        </is>
      </c>
      <c r="B3" s="4">
        <f>COUNTIF(Registros!G:G,A3)</f>
        <v/>
      </c>
      <c r="C3" s="4">
        <f>SUMIF(Registros!G:G,A3,Registros!J:J)</f>
        <v/>
      </c>
      <c r="D3" s="4">
        <f>IFERROR(C3/B3,0)</f>
        <v/>
      </c>
    </row>
    <row r="4">
      <c r="A4" s="4" t="inlineStr">
        <is>
          <t>Preparação Alumínio</t>
        </is>
      </c>
      <c r="B4" s="4">
        <f>COUNTIF(Registros!G:G,A4)</f>
        <v/>
      </c>
      <c r="C4" s="4">
        <f>SUMIF(Registros!G:G,A4,Registros!J:J)</f>
        <v/>
      </c>
      <c r="D4" s="4">
        <f>IFERROR(C4/B4,0)</f>
        <v/>
      </c>
    </row>
    <row r="5">
      <c r="A5" s="4" t="inlineStr">
        <is>
          <t>Solda Aço</t>
        </is>
      </c>
      <c r="B5" s="4">
        <f>COUNTIF(Registros!G:G,A5)</f>
        <v/>
      </c>
      <c r="C5" s="4">
        <f>SUMIF(Registros!G:G,A5,Registros!J:J)</f>
        <v/>
      </c>
      <c r="D5" s="4">
        <f>IFERROR(C5/B5,0)</f>
        <v/>
      </c>
    </row>
    <row r="6">
      <c r="A6" s="4" t="inlineStr">
        <is>
          <t>Solda Alumínio</t>
        </is>
      </c>
      <c r="B6" s="4">
        <f>COUNTIF(Registros!G:G,A6)</f>
        <v/>
      </c>
      <c r="C6" s="4">
        <f>SUMIF(Registros!G:G,A6,Registros!J:J)</f>
        <v/>
      </c>
      <c r="D6" s="4">
        <f>IFERROR(C6/B6,0)</f>
        <v/>
      </c>
    </row>
    <row r="7">
      <c r="A7" s="4" t="inlineStr">
        <is>
          <t>Tratamento Térmico</t>
        </is>
      </c>
      <c r="B7" s="4">
        <f>COUNTIF(Registros!G:G,A7)</f>
        <v/>
      </c>
      <c r="C7" s="4">
        <f>SUMIF(Registros!G:G,A7,Registros!J:J)</f>
        <v/>
      </c>
      <c r="D7" s="4">
        <f>IFERROR(C7/B7,0)</f>
        <v/>
      </c>
    </row>
    <row r="8">
      <c r="A8" s="4" t="inlineStr">
        <is>
          <t>Pintura</t>
        </is>
      </c>
      <c r="B8" s="4">
        <f>COUNTIF(Registros!G:G,A8)</f>
        <v/>
      </c>
      <c r="C8" s="4">
        <f>SUMIF(Registros!G:G,A8,Registros!J:J)</f>
        <v/>
      </c>
      <c r="D8" s="4">
        <f>IFERROR(C8/B8,0)</f>
        <v/>
      </c>
    </row>
    <row r="9">
      <c r="A9" s="4" t="inlineStr">
        <is>
          <t>Linha de Montagem</t>
        </is>
      </c>
      <c r="B9" s="4">
        <f>COUNTIF(Registros!G:G,A9)</f>
        <v/>
      </c>
      <c r="C9" s="4">
        <f>SUMIF(Registros!G:G,A9,Registros!J:J)</f>
        <v/>
      </c>
      <c r="D9" s="4">
        <f>IFERROR(C9/B9,0)</f>
        <v/>
      </c>
    </row>
    <row r="10">
      <c r="A10" s="4" t="inlineStr">
        <is>
          <t>Aro</t>
        </is>
      </c>
      <c r="B10" s="4">
        <f>COUNTIF(Registros!G:G,A10)</f>
        <v/>
      </c>
      <c r="C10" s="4">
        <f>SUMIF(Registros!G:G,A10,Registros!J:J)</f>
        <v/>
      </c>
      <c r="D10" s="4">
        <f>IFERROR(C10/B10,0)</f>
        <v/>
      </c>
    </row>
    <row r="11">
      <c r="A11" s="4" t="inlineStr">
        <is>
          <t>Rodas</t>
        </is>
      </c>
      <c r="B11" s="4">
        <f>COUNTIF(Registros!G:G,A11)</f>
        <v/>
      </c>
      <c r="C11" s="4">
        <f>SUMIF(Registros!G:G,A11,Registros!J:J)</f>
        <v/>
      </c>
      <c r="D11" s="4">
        <f>IFERROR(C11/B11,0)</f>
        <v/>
      </c>
    </row>
    <row r="12">
      <c r="A12" s="4" t="inlineStr">
        <is>
          <t>Outros</t>
        </is>
      </c>
      <c r="B12" s="4">
        <f>COUNTIF(Registros!G:G,A12)</f>
        <v/>
      </c>
      <c r="C12" s="4">
        <f>SUMIF(Registros!G:G,A12,Registros!J:J)</f>
        <v/>
      </c>
      <c r="D12" s="4">
        <f>IFERROR(C12/B12,0)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</cols>
  <sheetData>
    <row r="1">
      <c r="A1" s="2" t="inlineStr">
        <is>
          <t>CATÁLOGO DE EQUIPAMENTOS</t>
        </is>
      </c>
    </row>
    <row r="2">
      <c r="A2" s="3" t="inlineStr">
        <is>
          <t>Código</t>
        </is>
      </c>
      <c r="B2" s="3" t="inlineStr">
        <is>
          <t>Descrição do Equipamento</t>
        </is>
      </c>
      <c r="C2" s="3" t="inlineStr">
        <is>
          <t>Setor</t>
        </is>
      </c>
    </row>
    <row r="3">
      <c r="A3" t="inlineStr">
        <is>
          <t>EQ001</t>
        </is>
      </c>
      <c r="B3" t="inlineStr">
        <is>
          <t>Prensa Hidráulica #1 - Preparação Aço</t>
        </is>
      </c>
      <c r="C3" t="inlineStr">
        <is>
          <t>Preparação Aço</t>
        </is>
      </c>
    </row>
    <row r="4">
      <c r="A4" t="inlineStr">
        <is>
          <t>EQ002</t>
        </is>
      </c>
      <c r="B4" t="inlineStr">
        <is>
          <t>Prensa Hidráulica #2 - Preparação Aço</t>
        </is>
      </c>
      <c r="C4" t="inlineStr">
        <is>
          <t>Preparação Aço</t>
        </is>
      </c>
    </row>
    <row r="5">
      <c r="A5" t="inlineStr">
        <is>
          <t>EQ003</t>
        </is>
      </c>
      <c r="B5" t="inlineStr">
        <is>
          <t>Dobradeira CNC - Preparação Aço</t>
        </is>
      </c>
      <c r="C5" t="inlineStr">
        <is>
          <t>Preparação Aço</t>
        </is>
      </c>
    </row>
    <row r="6">
      <c r="A6" t="inlineStr">
        <is>
          <t>EQ004</t>
        </is>
      </c>
      <c r="B6" t="inlineStr">
        <is>
          <t>Guilhotina - Preparação Aço</t>
        </is>
      </c>
      <c r="C6" t="inlineStr">
        <is>
          <t>Preparação Aço</t>
        </is>
      </c>
    </row>
    <row r="7">
      <c r="A7" t="inlineStr">
        <is>
          <t>EQ005</t>
        </is>
      </c>
      <c r="B7" t="inlineStr">
        <is>
          <t>Prensa Alumínio #1 - Preparação Alumínio</t>
        </is>
      </c>
      <c r="C7" t="inlineStr">
        <is>
          <t>Preparação Alumínio</t>
        </is>
      </c>
    </row>
    <row r="8">
      <c r="A8" t="inlineStr">
        <is>
          <t>EQ006</t>
        </is>
      </c>
      <c r="B8" t="inlineStr">
        <is>
          <t>Extrusora - Preparação Alumínio</t>
        </is>
      </c>
      <c r="C8" t="inlineStr">
        <is>
          <t>Preparação Alumínio</t>
        </is>
      </c>
    </row>
    <row r="9">
      <c r="A9" t="inlineStr">
        <is>
          <t>EQ007</t>
        </is>
      </c>
      <c r="B9" t="inlineStr">
        <is>
          <t>Robô de Solda #1 - Solda Aço</t>
        </is>
      </c>
      <c r="C9" t="inlineStr">
        <is>
          <t>Solda Aço</t>
        </is>
      </c>
    </row>
    <row r="10">
      <c r="A10" t="inlineStr">
        <is>
          <t>EQ008</t>
        </is>
      </c>
      <c r="B10" t="inlineStr">
        <is>
          <t>Robô de Solda #2 - Solda Aço</t>
        </is>
      </c>
      <c r="C10" t="inlineStr">
        <is>
          <t>Solda Aço</t>
        </is>
      </c>
    </row>
    <row r="11">
      <c r="A11" t="inlineStr">
        <is>
          <t>EQ009</t>
        </is>
      </c>
      <c r="B11" t="inlineStr">
        <is>
          <t>Solda MIG Manual - Solda Aço</t>
        </is>
      </c>
      <c r="C11" t="inlineStr">
        <is>
          <t>Solda Aço</t>
        </is>
      </c>
    </row>
    <row r="12">
      <c r="A12" t="inlineStr">
        <is>
          <t>EQ010</t>
        </is>
      </c>
      <c r="B12" t="inlineStr">
        <is>
          <t>Robô de Solda Alumínio #1 - Solda Alumínio</t>
        </is>
      </c>
      <c r="C12" t="inlineStr">
        <is>
          <t>Solda Alumínio</t>
        </is>
      </c>
    </row>
    <row r="13">
      <c r="A13" t="inlineStr">
        <is>
          <t>EQ011</t>
        </is>
      </c>
      <c r="B13" t="inlineStr">
        <is>
          <t>Forno de Têmpera - Tratamento Térmico</t>
        </is>
      </c>
      <c r="C13" t="inlineStr">
        <is>
          <t>Tratamento Térmico</t>
        </is>
      </c>
    </row>
    <row r="14">
      <c r="A14" t="inlineStr">
        <is>
          <t>EQ012</t>
        </is>
      </c>
      <c r="B14" t="inlineStr">
        <is>
          <t>Forno de Revenimento - Tratamento Térmico</t>
        </is>
      </c>
      <c r="C14" t="inlineStr">
        <is>
          <t>Tratamento Térmico</t>
        </is>
      </c>
    </row>
    <row r="15">
      <c r="A15" t="inlineStr">
        <is>
          <t>EQ013</t>
        </is>
      </c>
      <c r="B15" t="inlineStr">
        <is>
          <t>Cabine de Pintura #1 - Pintura</t>
        </is>
      </c>
      <c r="C15" t="inlineStr">
        <is>
          <t>Pintura</t>
        </is>
      </c>
    </row>
    <row r="16">
      <c r="A16" t="inlineStr">
        <is>
          <t>EQ014</t>
        </is>
      </c>
      <c r="B16" t="inlineStr">
        <is>
          <t>Cabine de Pintura #2 - Pintura</t>
        </is>
      </c>
      <c r="C16" t="inlineStr">
        <is>
          <t>Pintura</t>
        </is>
      </c>
    </row>
    <row r="17">
      <c r="A17" t="inlineStr">
        <is>
          <t>EQ015</t>
        </is>
      </c>
      <c r="B17" t="inlineStr">
        <is>
          <t>Forno de Cura - Pintura</t>
        </is>
      </c>
      <c r="C17" t="inlineStr">
        <is>
          <t>Pintura</t>
        </is>
      </c>
    </row>
    <row r="18">
      <c r="A18" t="inlineStr">
        <is>
          <t>EQ016</t>
        </is>
      </c>
      <c r="B18" t="inlineStr">
        <is>
          <t>Esteira Linha A - Linha de Montagem</t>
        </is>
      </c>
      <c r="C18" t="inlineStr">
        <is>
          <t>Linha de Montagem</t>
        </is>
      </c>
    </row>
    <row r="19">
      <c r="A19" t="inlineStr">
        <is>
          <t>EQ017</t>
        </is>
      </c>
      <c r="B19" t="inlineStr">
        <is>
          <t>Esteira Linha B - Linha de Montagem</t>
        </is>
      </c>
      <c r="C19" t="inlineStr">
        <is>
          <t>Linha de Montagem</t>
        </is>
      </c>
    </row>
    <row r="20">
      <c r="A20" t="inlineStr">
        <is>
          <t>EQ018</t>
        </is>
      </c>
      <c r="B20" t="inlineStr">
        <is>
          <t>Laminadora de Aro #1 - Aro</t>
        </is>
      </c>
      <c r="C20" t="inlineStr">
        <is>
          <t>Aro</t>
        </is>
      </c>
    </row>
    <row r="21">
      <c r="A21" t="inlineStr">
        <is>
          <t>EQ019</t>
        </is>
      </c>
      <c r="B21" t="inlineStr">
        <is>
          <t>Laminadora de Aro #2 - Aro</t>
        </is>
      </c>
      <c r="C21" t="inlineStr">
        <is>
          <t>Aro</t>
        </is>
      </c>
    </row>
    <row r="22">
      <c r="A22" t="inlineStr">
        <is>
          <t>EQ020</t>
        </is>
      </c>
      <c r="B22" t="inlineStr">
        <is>
          <t>Montadora de Rodas - Rodas</t>
        </is>
      </c>
      <c r="C22" t="inlineStr">
        <is>
          <t>Rodas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2026-05-24T02:24:36Z</dcterms:created>
  <dcterms:modified xmlns:dcterms="http://purl.org/dc/terms/" xmlns:xsi="http://www.w3.org/2001/XMLSchema-instance" xsi:type="dcterms:W3CDTF">2026-05-24T02:27:21Z</dcterms:modified>
</cp:coreProperties>
</file>